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Info" sheetId="1" state="visible" r:id="rId3"/>
    <sheet name="Credit Inventory" sheetId="2" state="visible" r:id="rId4"/>
    <sheet name="Saving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<sst xmlns="http://schemas.openxmlformats.org/spreadsheetml/2006/main" count="75" uniqueCount="52">
  <si>
    <t xml:space="preserve">Fast Grad Academy — Credit Planning Tracker</t>
  </si>
  <si>
    <t xml:space="preserve">Fill in the blue cells with your information. Everything else calculates automatically.</t>
  </si>
  <si>
    <t xml:space="preserve">Your Name</t>
  </si>
  <si>
    <t xml:space="preserve">Target School</t>
  </si>
  <si>
    <t xml:space="preserve">Target Program / Major</t>
  </si>
  <si>
    <t xml:space="preserve">State</t>
  </si>
  <si>
    <t xml:space="preserve">Current Credits Earned</t>
  </si>
  <si>
    <t xml:space="preserve">Credits Required for Degree</t>
  </si>
  <si>
    <t xml:space="preserve">Target Graduation Date</t>
  </si>
  <si>
    <t xml:space="preserve">Estimated Tuition Per Credit (University)</t>
  </si>
  <si>
    <t xml:space="preserve">Estimated Tuition Per Credit (Community College)</t>
  </si>
  <si>
    <t xml:space="preserve">Credits Still Needed</t>
  </si>
  <si>
    <t xml:space="preserve">Traditional Cost (Remaining Credits × University Rate)</t>
  </si>
  <si>
    <t xml:space="preserve">Credit Inventory — Every Exam &amp; Course You Plan to Take</t>
  </si>
  <si>
    <t xml:space="preserve">Blue = you fill in  |  Black = auto-calculated  |  Add rows as needed</t>
  </si>
  <si>
    <t xml:space="preserve">Exam / Course Name</t>
  </si>
  <si>
    <t xml:space="preserve">Type</t>
  </si>
  <si>
    <t xml:space="preserve">Credits</t>
  </si>
  <si>
    <t xml:space="preserve">Cost</t>
  </si>
  <si>
    <t xml:space="preserve">Study Hours</t>
  </si>
  <si>
    <t xml:space="preserve">Status</t>
  </si>
  <si>
    <t xml:space="preserve">Score</t>
  </si>
  <si>
    <t xml:space="preserve">Transfers?</t>
  </si>
  <si>
    <t xml:space="preserve">Notes</t>
  </si>
  <si>
    <t xml:space="preserve">CLEP — College Composition Modular</t>
  </si>
  <si>
    <t xml:space="preserve">CLEP</t>
  </si>
  <si>
    <t xml:space="preserve">Planned</t>
  </si>
  <si>
    <t xml:space="preserve">TBD</t>
  </si>
  <si>
    <t xml:space="preserve">CLEP — American Government</t>
  </si>
  <si>
    <t xml:space="preserve">CLEP — Introductory Psychology</t>
  </si>
  <si>
    <t xml:space="preserve">CLEP — Principles of Macroeconomics</t>
  </si>
  <si>
    <t xml:space="preserve">DSST — Introduction to Business</t>
  </si>
  <si>
    <t xml:space="preserve">DSST</t>
  </si>
  <si>
    <t xml:space="preserve">AP — US History (Self-Study)</t>
  </si>
  <si>
    <t xml:space="preserve">AP</t>
  </si>
  <si>
    <t xml:space="preserve">Sophia Learning — Intro to Statistics</t>
  </si>
  <si>
    <t xml:space="preserve">Sophia</t>
  </si>
  <si>
    <t xml:space="preserve">Monthly sub</t>
  </si>
  <si>
    <t xml:space="preserve">Saylor Academy — CS101</t>
  </si>
  <si>
    <t xml:space="preserve">Saylor</t>
  </si>
  <si>
    <t xml:space="preserve">$5 proctoring</t>
  </si>
  <si>
    <t xml:space="preserve">PSEO — English Comp I</t>
  </si>
  <si>
    <t xml:space="preserve">PSEO</t>
  </si>
  <si>
    <t xml:space="preserve">Free in-state</t>
  </si>
  <si>
    <t xml:space="preserve">PSEO — English Comp II</t>
  </si>
  <si>
    <t xml:space="preserve">TOTALS</t>
  </si>
  <si>
    <t xml:space="preserve">Your Savings Summary</t>
  </si>
  <si>
    <t xml:space="preserve">Total Alternative Credits Earned</t>
  </si>
  <si>
    <t xml:space="preserve">Cost of Alternative Credits</t>
  </si>
  <si>
    <t xml:space="preserve">University Cost for Same Credits</t>
  </si>
  <si>
    <t xml:space="preserve">YOUR TOTAL SAVINGS</t>
  </si>
  <si>
    <t xml:space="preserve">Time Saved (est. semesters)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</si>
</sst>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C2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2C2C2C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580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C2C2C"/>
      <name val="Arial"/>
      <family val="0"/>
      <charset val="1"/>
    </font>
    <font>
      <b val="true"/>
      <sz val="14"/>
      <color rgb="FF1580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AFAF8"/>
        <bgColor rgb="FFFFFFFF"/>
      </patternFill>
    </fill>
    <fill>
      <patternFill patternType="solid">
        <fgColor rgb="FFFFFFF0"/>
        <bgColor rgb="FFFFFFFF"/>
      </patternFill>
    </fill>
    <fill>
      <patternFill patternType="solid">
        <fgColor rgb="FFF5F0E8"/>
        <bgColor rgb="FFFAFAF8"/>
      </patternFill>
    </fill>
    <fill>
      <patternFill patternType="solid">
        <fgColor rgb="FF2C2C2C"/>
        <bgColor rgb="FF333300"/>
      </patternFill>
    </fill>
    <fill>
      <patternFill patternType="solid">
        <fgColor rgb="FFE8FAE8"/>
        <bgColor rgb="FFF5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F0"/>
      <rgbColor rgb="FFE8FA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F5F0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AB308"/>
      <rgbColor rgb="FFFF9900"/>
      <rgbColor rgb="FFFF6600"/>
      <rgbColor rgb="FF666666"/>
      <rgbColor rgb="FFC4A97D"/>
      <rgbColor rgb="FF003366"/>
      <rgbColor rgb="FF22C55E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97D"/>
    <pageSetUpPr fitToPage="false"/>
  </sheetPr>
  <dimension ref="B2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5"/>
  </cols>
  <sheetData>
    <row r="2" customFormat="false" ht="19.7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3" t="s">
        <v>3</v>
      </c>
      <c r="C6" s="4"/>
    </row>
    <row r="7" customFormat="false" ht="15" hidden="false" customHeight="false" outlineLevel="0" collapsed="false">
      <c r="B7" s="3" t="s">
        <v>4</v>
      </c>
      <c r="C7" s="4"/>
    </row>
    <row r="8" customFormat="false" ht="15" hidden="false" customHeight="false" outlineLevel="0" collapsed="false">
      <c r="B8" s="3" t="s">
        <v>5</v>
      </c>
      <c r="C8" s="4"/>
    </row>
    <row r="9" customFormat="false" ht="15" hidden="false" customHeight="false" outlineLevel="0" collapsed="false">
      <c r="B9" s="3" t="s">
        <v>6</v>
      </c>
      <c r="C9" s="4" t="n">
        <v>0</v>
      </c>
    </row>
    <row r="10" customFormat="false" ht="15" hidden="false" customHeight="false" outlineLevel="0" collapsed="false">
      <c r="B10" s="3" t="s">
        <v>7</v>
      </c>
      <c r="C10" s="4" t="n">
        <v>120</v>
      </c>
    </row>
    <row r="11" customFormat="false" ht="15" hidden="false" customHeight="false" outlineLevel="0" collapsed="false">
      <c r="B11" s="3" t="s">
        <v>8</v>
      </c>
      <c r="C11" s="4"/>
    </row>
    <row r="12" customFormat="false" ht="15" hidden="false" customHeight="false" outlineLevel="0" collapsed="false">
      <c r="B12" s="3" t="s">
        <v>9</v>
      </c>
      <c r="C12" s="4" t="n">
        <v>500</v>
      </c>
    </row>
    <row r="13" customFormat="false" ht="15" hidden="false" customHeight="false" outlineLevel="0" collapsed="false">
      <c r="B13" s="3" t="s">
        <v>10</v>
      </c>
      <c r="C13" s="4" t="n">
        <v>150</v>
      </c>
    </row>
    <row r="15" customFormat="false" ht="15" hidden="false" customHeight="false" outlineLevel="0" collapsed="false">
      <c r="B15" s="5" t="s">
        <v>11</v>
      </c>
      <c r="C15" s="6" t="n">
        <f aca="false">C10-C9</f>
        <v>120</v>
      </c>
    </row>
    <row r="16" customFormat="false" ht="15" hidden="false" customHeight="false" outlineLevel="0" collapsed="false">
      <c r="B16" s="5" t="s">
        <v>12</v>
      </c>
      <c r="C16" s="7" t="n">
        <f aca="false">C15*C12</f>
        <v>60000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</cols>
  <sheetData>
    <row r="2" customFormat="false" ht="19.7" hidden="false" customHeight="false" outlineLevel="0" collapsed="false">
      <c r="B2" s="1" t="s">
        <v>13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</row>
    <row r="6" customFormat="false" ht="15" hidden="false" customHeight="false" outlineLevel="0" collapsed="false">
      <c r="B6" s="4" t="s">
        <v>24</v>
      </c>
      <c r="C6" s="4" t="s">
        <v>25</v>
      </c>
      <c r="D6" s="9" t="n">
        <v>6</v>
      </c>
      <c r="E6" s="10" t="n">
        <v>97</v>
      </c>
      <c r="F6" s="9" t="n">
        <v>20</v>
      </c>
      <c r="G6" s="4" t="s">
        <v>26</v>
      </c>
      <c r="H6" s="11"/>
      <c r="I6" s="4" t="s">
        <v>27</v>
      </c>
      <c r="J6" s="11"/>
    </row>
    <row r="7" customFormat="false" ht="15" hidden="false" customHeight="false" outlineLevel="0" collapsed="false">
      <c r="B7" s="4" t="s">
        <v>28</v>
      </c>
      <c r="C7" s="4" t="s">
        <v>25</v>
      </c>
      <c r="D7" s="9" t="n">
        <v>6</v>
      </c>
      <c r="E7" s="10" t="n">
        <v>97</v>
      </c>
      <c r="F7" s="9" t="n">
        <v>15</v>
      </c>
      <c r="G7" s="4" t="s">
        <v>26</v>
      </c>
      <c r="H7" s="11"/>
      <c r="I7" s="4" t="s">
        <v>27</v>
      </c>
      <c r="J7" s="11"/>
    </row>
    <row r="8" customFormat="false" ht="15" hidden="false" customHeight="false" outlineLevel="0" collapsed="false">
      <c r="B8" s="4" t="s">
        <v>29</v>
      </c>
      <c r="C8" s="4" t="s">
        <v>25</v>
      </c>
      <c r="D8" s="9" t="n">
        <v>3</v>
      </c>
      <c r="E8" s="10" t="n">
        <v>97</v>
      </c>
      <c r="F8" s="9" t="n">
        <v>20</v>
      </c>
      <c r="G8" s="4" t="s">
        <v>26</v>
      </c>
      <c r="H8" s="11"/>
      <c r="I8" s="4" t="s">
        <v>27</v>
      </c>
      <c r="J8" s="11"/>
    </row>
    <row r="9" customFormat="false" ht="15" hidden="false" customHeight="false" outlineLevel="0" collapsed="false">
      <c r="B9" s="4" t="s">
        <v>30</v>
      </c>
      <c r="C9" s="4" t="s">
        <v>25</v>
      </c>
      <c r="D9" s="9" t="n">
        <v>3</v>
      </c>
      <c r="E9" s="10" t="n">
        <v>97</v>
      </c>
      <c r="F9" s="9" t="n">
        <v>25</v>
      </c>
      <c r="G9" s="4" t="s">
        <v>26</v>
      </c>
      <c r="H9" s="11"/>
      <c r="I9" s="4" t="s">
        <v>27</v>
      </c>
      <c r="J9" s="11"/>
    </row>
    <row r="10" customFormat="false" ht="15" hidden="false" customHeight="false" outlineLevel="0" collapsed="false">
      <c r="B10" s="4" t="s">
        <v>31</v>
      </c>
      <c r="C10" s="4" t="s">
        <v>32</v>
      </c>
      <c r="D10" s="9" t="n">
        <v>3</v>
      </c>
      <c r="E10" s="10" t="n">
        <v>100</v>
      </c>
      <c r="F10" s="9" t="n">
        <v>20</v>
      </c>
      <c r="G10" s="4" t="s">
        <v>26</v>
      </c>
      <c r="H10" s="11"/>
      <c r="I10" s="4" t="s">
        <v>27</v>
      </c>
      <c r="J10" s="11"/>
    </row>
    <row r="11" customFormat="false" ht="15" hidden="false" customHeight="false" outlineLevel="0" collapsed="false">
      <c r="B11" s="4" t="s">
        <v>33</v>
      </c>
      <c r="C11" s="4" t="s">
        <v>34</v>
      </c>
      <c r="D11" s="9" t="n">
        <v>3</v>
      </c>
      <c r="E11" s="10" t="n">
        <v>98</v>
      </c>
      <c r="F11" s="9" t="n">
        <v>40</v>
      </c>
      <c r="G11" s="4" t="s">
        <v>26</v>
      </c>
      <c r="H11" s="11"/>
      <c r="I11" s="4" t="s">
        <v>27</v>
      </c>
      <c r="J11" s="11"/>
    </row>
    <row r="12" customFormat="false" ht="15" hidden="false" customHeight="false" outlineLevel="0" collapsed="false">
      <c r="B12" s="4" t="s">
        <v>35</v>
      </c>
      <c r="C12" s="4" t="s">
        <v>36</v>
      </c>
      <c r="D12" s="9" t="n">
        <v>3</v>
      </c>
      <c r="E12" s="10" t="n">
        <v>99</v>
      </c>
      <c r="F12" s="9" t="n">
        <v>15</v>
      </c>
      <c r="G12" s="4" t="s">
        <v>26</v>
      </c>
      <c r="H12" s="11"/>
      <c r="I12" s="4" t="s">
        <v>27</v>
      </c>
      <c r="J12" s="4" t="s">
        <v>37</v>
      </c>
    </row>
    <row r="13" customFormat="false" ht="15" hidden="false" customHeight="false" outlineLevel="0" collapsed="false">
      <c r="B13" s="4" t="s">
        <v>38</v>
      </c>
      <c r="C13" s="4" t="s">
        <v>39</v>
      </c>
      <c r="D13" s="9" t="n">
        <v>3</v>
      </c>
      <c r="E13" s="10" t="n">
        <v>5</v>
      </c>
      <c r="F13" s="9" t="n">
        <v>30</v>
      </c>
      <c r="G13" s="4" t="s">
        <v>26</v>
      </c>
      <c r="H13" s="11"/>
      <c r="I13" s="4" t="s">
        <v>27</v>
      </c>
      <c r="J13" s="4" t="s">
        <v>40</v>
      </c>
    </row>
    <row r="14" customFormat="false" ht="15" hidden="false" customHeight="false" outlineLevel="0" collapsed="false">
      <c r="B14" s="4" t="s">
        <v>41</v>
      </c>
      <c r="C14" s="4" t="s">
        <v>42</v>
      </c>
      <c r="D14" s="9" t="n">
        <v>3</v>
      </c>
      <c r="E14" s="9" t="n">
        <v>0</v>
      </c>
      <c r="F14" s="9" t="n">
        <v>0</v>
      </c>
      <c r="G14" s="4" t="s">
        <v>26</v>
      </c>
      <c r="H14" s="11"/>
      <c r="I14" s="4" t="s">
        <v>27</v>
      </c>
      <c r="J14" s="4" t="s">
        <v>43</v>
      </c>
    </row>
    <row r="15" customFormat="false" ht="15" hidden="false" customHeight="false" outlineLevel="0" collapsed="false">
      <c r="B15" s="4" t="s">
        <v>44</v>
      </c>
      <c r="C15" s="4" t="s">
        <v>42</v>
      </c>
      <c r="D15" s="9" t="n">
        <v>3</v>
      </c>
      <c r="E15" s="9" t="n">
        <v>0</v>
      </c>
      <c r="F15" s="9" t="n">
        <v>0</v>
      </c>
      <c r="G15" s="4" t="s">
        <v>26</v>
      </c>
      <c r="H15" s="11"/>
      <c r="I15" s="4" t="s">
        <v>27</v>
      </c>
      <c r="J15" s="4" t="s">
        <v>43</v>
      </c>
    </row>
    <row r="16" customFormat="false" ht="15" hidden="false" customHeight="false" outlineLevel="0" collapsed="false">
      <c r="B16" s="11"/>
      <c r="C16" s="11"/>
      <c r="D16" s="12"/>
      <c r="E16" s="12"/>
      <c r="F16" s="12"/>
      <c r="G16" s="11"/>
      <c r="H16" s="11"/>
      <c r="I16" s="11"/>
      <c r="J16" s="11"/>
    </row>
    <row r="17" customFormat="false" ht="15" hidden="false" customHeight="false" outlineLevel="0" collapsed="false">
      <c r="B17" s="11"/>
      <c r="C17" s="11"/>
      <c r="D17" s="12"/>
      <c r="E17" s="12"/>
      <c r="F17" s="12"/>
      <c r="G17" s="11"/>
      <c r="H17" s="11"/>
      <c r="I17" s="11"/>
      <c r="J17" s="11"/>
    </row>
    <row r="18" customFormat="false" ht="15" hidden="false" customHeight="false" outlineLevel="0" collapsed="false">
      <c r="B18" s="11"/>
      <c r="C18" s="11"/>
      <c r="D18" s="12"/>
      <c r="E18" s="12"/>
      <c r="F18" s="12"/>
      <c r="G18" s="11"/>
      <c r="H18" s="11"/>
      <c r="I18" s="11"/>
      <c r="J18" s="11"/>
    </row>
    <row r="19" customFormat="false" ht="15" hidden="false" customHeight="false" outlineLevel="0" collapsed="false">
      <c r="B19" s="11"/>
      <c r="C19" s="11"/>
      <c r="D19" s="12"/>
      <c r="E19" s="12"/>
      <c r="F19" s="12"/>
      <c r="G19" s="11"/>
      <c r="H19" s="11"/>
      <c r="I19" s="11"/>
      <c r="J19" s="11"/>
    </row>
    <row r="20" customFormat="false" ht="15" hidden="false" customHeight="false" outlineLevel="0" collapsed="false">
      <c r="B20" s="11"/>
      <c r="C20" s="11"/>
      <c r="D20" s="12"/>
      <c r="E20" s="12"/>
      <c r="F20" s="12"/>
      <c r="G20" s="11"/>
      <c r="H20" s="11"/>
      <c r="I20" s="11"/>
      <c r="J20" s="11"/>
    </row>
    <row r="22" customFormat="false" ht="15" hidden="false" customHeight="false" outlineLevel="0" collapsed="false">
      <c r="B22" s="5" t="s">
        <v>45</v>
      </c>
      <c r="D22" s="13" t="n">
        <f aca="false">SUM(D6:D20)</f>
        <v>36</v>
      </c>
      <c r="E22" s="14" t="n">
        <f aca="false">SUM(E6:E20)</f>
        <v>690</v>
      </c>
      <c r="F22" s="13" t="n">
        <f aca="false">SUM(F6:F20)</f>
        <v>185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B308"/>
    <pageSetUpPr fitToPage="false"/>
  </sheetPr>
  <dimension ref="B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22"/>
  </cols>
  <sheetData>
    <row r="2" customFormat="false" ht="19.7" hidden="false" customHeight="false" outlineLevel="0" collapsed="false">
      <c r="B2" s="1" t="s">
        <v>46</v>
      </c>
      <c r="C2" s="1"/>
    </row>
    <row r="4" customFormat="false" ht="15" hidden="false" customHeight="false" outlineLevel="0" collapsed="false">
      <c r="B4" s="3" t="s">
        <v>47</v>
      </c>
      <c r="C4" s="15" t="n">
        <f aca="false">'Credit Inventory'!D22</f>
        <v>36</v>
      </c>
    </row>
    <row r="5" customFormat="false" ht="15" hidden="false" customHeight="false" outlineLevel="0" collapsed="false">
      <c r="B5" s="3" t="s">
        <v>48</v>
      </c>
      <c r="C5" s="16" t="n">
        <f aca="false">'Credit Inventory'!E22</f>
        <v>690</v>
      </c>
    </row>
    <row r="6" customFormat="false" ht="15" hidden="false" customHeight="false" outlineLevel="0" collapsed="false">
      <c r="B6" s="3" t="s">
        <v>49</v>
      </c>
      <c r="C6" s="16" t="n">
        <f aca="false">'Credit Inventory'!D22*'My Info'!C12</f>
        <v>18000</v>
      </c>
    </row>
    <row r="7" customFormat="false" ht="15" hidden="false" customHeight="false" outlineLevel="0" collapsed="false">
      <c r="B7" s="17"/>
      <c r="C7" s="18"/>
    </row>
    <row r="8" customFormat="false" ht="17.35" hidden="false" customHeight="false" outlineLevel="0" collapsed="false">
      <c r="B8" s="19" t="s">
        <v>50</v>
      </c>
      <c r="C8" s="20" t="n">
        <f aca="false">C6-C5</f>
        <v>17310</v>
      </c>
    </row>
    <row r="9" customFormat="false" ht="15" hidden="false" customHeight="false" outlineLevel="0" collapsed="false">
      <c r="B9" s="17"/>
      <c r="C9" s="18"/>
    </row>
    <row r="10" customFormat="false" ht="15" hidden="false" customHeight="false" outlineLevel="0" collapsed="false">
      <c r="B10" s="3" t="s">
        <v>51</v>
      </c>
      <c r="C10" s="15" t="n">
        <f aca="false">'Credit Inventory'!D22/15</f>
        <v>2.4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2026-04-24T07:57:38Z</dcterms:created>
  <dc:creator>openpyxl</dc:creator>
  <dc:description/>
  <dc:language>en-US</dc:language>
  <cp:lastModifiedBy/>
  <dcterms:modified xsi:type="dcterms:W3CDTF">2026-04-24T07:57:38Z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