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Redire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<sst xmlns="http://schemas.openxmlformats.org/spreadsheetml/2006/main" count="25" uniqueCount="25">
  <si>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FGA Financial Redirect Planner</t>
  </si>
  <si>
    <t xml:space="preserve">Turn your tuition savings into a 10-year head start: Roth IRA, HYSA, down payment.</t>
  </si>
  <si>
    <t xml:space="preserve">YOUR SAVINGS</t>
  </si>
  <si>
    <t xml:space="preserve">Traditional 4-year cost (tuition + room/board)</t>
  </si>
  <si>
    <t xml:space="preserve">$157,000</t>
  </si>
  <si>
    <t xml:space="preserve">Your actual cost (fast-grad path)</t>
  </si>
  <si>
    <t xml:space="preserve">$5,060</t>
  </si>
  <si>
    <t xml:space="preserve">Total cash saved</t>
  </si>
  <si>
    <t xml:space="preserve">Years freed up (earning, not paying)</t>
  </si>
  <si>
    <t xml:space="preserve">3</t>
  </si>
  <si>
    <t xml:space="preserve">Expected starting salary</t>
  </si>
  <si>
    <t xml:space="preserve">$59,000</t>
  </si>
  <si>
    <t xml:space="preserve">Early earnings (years freed × salary)</t>
  </si>
  <si>
    <t xml:space="preserve">Total financial advantage</t>
  </si>
  <si>
    <t xml:space="preserve">REDIRECT PLAN</t>
  </si>
  <si>
    <t xml:space="preserve">Vehicle</t>
  </si>
  <si>
    <t xml:space="preserve">Monthly Contribution</t>
  </si>
  <si>
    <t xml:space="preserve">Annual Total</t>
  </si>
  <si>
    <t xml:space="preserve">10-Year Value (7% return)</t>
  </si>
  <si>
    <t xml:space="preserve">Roth IRA (max $7,000/yr)</t>
  </si>
  <si>
    <t xml:space="preserve">High-Yield Savings (emergency fund)</t>
  </si>
  <si>
    <t xml:space="preserve">Down Payment Fund</t>
  </si>
  <si>
    <t xml:space="preserve">Index Fund / Brokerage</t>
  </si>
  <si>
    <t xml:space="preserve">Skill Investment (courses, tools)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</si>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</sst>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0A0A0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6" t="n">
        <f aca="false">B5-B6</f>
        <v>151940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6" t="n">
        <f aca="false">B8*B9</f>
        <v>177000</v>
      </c>
    </row>
    <row r="11" customFormat="false" ht="15" hidden="false" customHeight="false" outlineLevel="0" collapsed="false">
      <c r="A11" s="4" t="s">
        <v>13</v>
      </c>
      <c r="B11" s="6" t="n">
        <f aca="false">B7+B10</f>
        <v>328940</v>
      </c>
    </row>
    <row r="14" customFormat="false" ht="15" hidden="false" customHeight="false" outlineLevel="0" collapsed="false">
      <c r="A14" s="3" t="s">
        <v>14</v>
      </c>
    </row>
    <row r="15" customFormat="false" ht="15" hidden="false" customHeight="false" outlineLevel="0" collapsed="false">
      <c r="A15" s="7" t="s">
        <v>15</v>
      </c>
      <c r="B15" s="7" t="s">
        <v>16</v>
      </c>
      <c r="C15" s="7" t="s">
        <v>17</v>
      </c>
      <c r="D15" s="7" t="s">
        <v>18</v>
      </c>
    </row>
    <row r="16" customFormat="false" ht="15" hidden="false" customHeight="false" outlineLevel="0" collapsed="false">
      <c r="A16" s="8" t="s">
        <v>19</v>
      </c>
      <c r="B16" s="9" t="n">
        <v>583</v>
      </c>
      <c r="C16" s="10" t="n">
        <f aca="false">B16*12</f>
        <v>6996</v>
      </c>
      <c r="D16" s="10" t="n">
        <f aca="false">FV(0.07/12,120,-B16)</f>
        <v>100908.442733752</v>
      </c>
    </row>
    <row r="17" customFormat="false" ht="15" hidden="false" customHeight="false" outlineLevel="0" collapsed="false">
      <c r="A17" s="8" t="s">
        <v>20</v>
      </c>
      <c r="B17" s="9" t="n">
        <v>500</v>
      </c>
      <c r="C17" s="10" t="n">
        <f aca="false">B17*12</f>
        <v>6000</v>
      </c>
      <c r="D17" s="10" t="n">
        <f aca="false">FV(0.07/12,120,-B17)</f>
        <v>86542.4037167685</v>
      </c>
    </row>
    <row r="18" customFormat="false" ht="15" hidden="false" customHeight="false" outlineLevel="0" collapsed="false">
      <c r="A18" s="8" t="s">
        <v>21</v>
      </c>
      <c r="B18" s="9" t="n">
        <v>400</v>
      </c>
      <c r="C18" s="10" t="n">
        <f aca="false">B18*12</f>
        <v>4800</v>
      </c>
      <c r="D18" s="10" t="n">
        <f aca="false">FV(0.07/12,120,-B18)</f>
        <v>69233.9229734148</v>
      </c>
    </row>
    <row r="19" customFormat="false" ht="15" hidden="false" customHeight="false" outlineLevel="0" collapsed="false">
      <c r="A19" s="8" t="s">
        <v>22</v>
      </c>
      <c r="B19" s="9" t="n">
        <v>300</v>
      </c>
      <c r="C19" s="10" t="n">
        <f aca="false">B19*12</f>
        <v>3600</v>
      </c>
      <c r="D19" s="10" t="n">
        <f aca="false">FV(0.07/12,120,-B19)</f>
        <v>51925.4422300611</v>
      </c>
    </row>
    <row r="20" customFormat="false" ht="15" hidden="false" customHeight="false" outlineLevel="0" collapsed="false">
      <c r="A20" s="8" t="s">
        <v>23</v>
      </c>
      <c r="B20" s="9" t="n">
        <v>100</v>
      </c>
      <c r="C20" s="10" t="n">
        <f aca="false">B20*12</f>
        <v>1200</v>
      </c>
      <c r="D20" s="10" t="n">
        <f aca="false">FV(0.07/12,120,-B20)</f>
        <v>17308.4807433537</v>
      </c>
    </row>
    <row r="21" customFormat="false" ht="15" hidden="false" customHeight="false" outlineLevel="0" collapsed="false">
      <c r="A21" s="11" t="s">
        <v>24</v>
      </c>
      <c r="B21" s="12" t="n">
        <f aca="false">SUM(B16:B20)</f>
        <v>1883</v>
      </c>
      <c r="C21" s="12" t="n">
        <f aca="false">SUM(C16:C20)</f>
        <v>22596</v>
      </c>
      <c r="D21" s="12" t="n">
        <f aca="false">SUM(D16:D20)</f>
        <v>325918.69239735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