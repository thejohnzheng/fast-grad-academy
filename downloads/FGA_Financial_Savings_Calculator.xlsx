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our Sav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<sst xmlns="http://schemas.openxmlformats.org/spreadsheetml/2006/main" count="30" uniqueCount="30">
  <si>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Fast Grad Academy — Financial Savings Calculator</t>
  </si>
  <si>
    <t xml:space="preserve">Input your numbers in blue. See exactly how much you save vs. the traditional path.</t>
  </si>
  <si>
    <t xml:space="preserve">YOUR SITUATION</t>
  </si>
  <si>
    <t xml:space="preserve">University tuition per credit hour</t>
  </si>
  <si>
    <t xml:space="preserve">University fees per semester (est.)</t>
  </si>
  <si>
    <t xml:space="preserve">Room &amp; board per semester (if applicable)</t>
  </si>
  <si>
    <t xml:space="preserve">Total credits required for degree</t>
  </si>
  <si>
    <t xml:space="preserve">Credits you plan to earn via CLEP/DSST/AP</t>
  </si>
  <si>
    <t xml:space="preserve">Credits you plan to earn via PSEO (free)</t>
  </si>
  <si>
    <t xml:space="preserve">Credits you plan to earn via Sophia/Saylor/other</t>
  </si>
  <si>
    <t xml:space="preserve">Average cost per alt-credit exam/course</t>
  </si>
  <si>
    <t xml:space="preserve">Semesters saved by accelerating</t>
  </si>
  <si>
    <t xml:space="preserve">TRADITIONAL PATH (No Acceleration)</t>
  </si>
  <si>
    <t xml:space="preserve">Total tuition (all credits at university rate)</t>
  </si>
  <si>
    <t xml:space="preserve">Total fees (8 semesters)</t>
  </si>
  <si>
    <t xml:space="preserve">Total room &amp; board (8 semesters)</t>
  </si>
  <si>
    <t xml:space="preserve">TOTAL TRADITIONAL COST</t>
  </si>
  <si>
    <t xml:space="preserve">YOUR ACCELERATED PATH</t>
  </si>
  <si>
    <t xml:space="preserve">Credits at university (remaining after alt credits)</t>
  </si>
  <si>
    <t xml:space="preserve">Tuition for university credits</t>
  </si>
  <si>
    <t xml:space="preserve">Fees (semesters at university)</t>
  </si>
  <si>
    <t xml:space="preserve">Room &amp; board (semesters at university)</t>
  </si>
  <si>
    <t xml:space="preserve">Cost of alternative credits</t>
  </si>
  <si>
    <t xml:space="preserve">PSEO cost</t>
  </si>
  <si>
    <t xml:space="preserve">TOTAL ACCELERATED COST</t>
  </si>
  <si>
    <t xml:space="preserve">YOUR RESULT</t>
  </si>
  <si>
    <t xml:space="preserve">💰 TOTAL MONEY SAVED</t>
  </si>
  <si>
    <t xml:space="preserve">📅 SEMESTERS SAVED</t>
  </si>
  <si>
    <t xml:space="preserve">⏰ YEARS SAVED</t>
  </si>
  <si>
    <t xml:space="preserve">💵 Savings per hour of study time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</si>
</sst>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2C2C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2C2C2C"/>
      <name val="Arial"/>
      <family val="0"/>
      <charset val="1"/>
    </font>
    <font>
      <sz val="11"/>
      <color rgb="FF2C2C2C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5803D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3"/>
      <color rgb="FF15803D"/>
      <name val="Arial"/>
      <family val="0"/>
      <charset val="1"/>
    </font>
    <font>
      <b val="true"/>
      <sz val="16"/>
      <color rgb="FF15803D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0EDE6"/>
        <bgColor rgb="FFF5F0E8"/>
      </patternFill>
    </fill>
    <fill>
      <patternFill patternType="solid">
        <fgColor rgb="FFFAFAF8"/>
        <bgColor rgb="FFFFFFFF"/>
      </patternFill>
    </fill>
    <fill>
      <patternFill patternType="solid">
        <fgColor rgb="FFFFFFF0"/>
        <bgColor rgb="FFFFFFFF"/>
      </patternFill>
    </fill>
    <fill>
      <patternFill patternType="solid">
        <fgColor rgb="FFF5F0E8"/>
        <bgColor rgb="FFF0EDE6"/>
      </patternFill>
    </fill>
    <fill>
      <patternFill patternType="solid">
        <fgColor rgb="FF15803D"/>
        <bgColor rgb="FF008080"/>
      </patternFill>
    </fill>
    <fill>
      <patternFill patternType="solid">
        <fgColor rgb="FFE8FAE8"/>
        <bgColor rgb="FFF5F0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0C8"/>
      </left>
      <right style="thin">
        <color rgb="FFD4D0C8"/>
      </right>
      <top style="thin">
        <color rgb="FFD4D0C8"/>
      </top>
      <bottom style="thin">
        <color rgb="FFD4D0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D4D0C8"/>
      <rgbColor rgb="FF808080"/>
      <rgbColor rgb="FF9999FF"/>
      <rgbColor rgb="FF993366"/>
      <rgbColor rgb="FFFFFFF0"/>
      <rgbColor rgb="FFE8FA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EDE6"/>
      <rgbColor rgb="FFF5F0E8"/>
      <rgbColor rgb="FFFAFAF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C4A97D"/>
      <rgbColor rgb="FF003366"/>
      <rgbColor rgb="FF339966"/>
      <rgbColor rgb="FF003300"/>
      <rgbColor rgb="FF333300"/>
      <rgbColor rgb="FF9933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97D"/>
    <pageSetUpPr fitToPage="false"/>
  </sheetPr>
  <dimension ref="B2:E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5"/>
    <col collapsed="false" customWidth="true" hidden="false" outlineLevel="0" max="5" min="3" style="0" width="22"/>
  </cols>
  <sheetData>
    <row r="2" customFormat="false" ht="19.7" hidden="false" customHeight="fals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2" t="s">
        <v>1</v>
      </c>
      <c r="C3" s="2"/>
      <c r="D3" s="2"/>
      <c r="E3" s="2"/>
    </row>
    <row r="5" customFormat="false" ht="15" hidden="false" customHeight="false" outlineLevel="0" collapsed="false">
      <c r="B5" s="3" t="s">
        <v>2</v>
      </c>
      <c r="C5" s="4"/>
    </row>
    <row r="6" customFormat="false" ht="15" hidden="false" customHeight="false" outlineLevel="0" collapsed="false">
      <c r="B6" s="5" t="s">
        <v>3</v>
      </c>
      <c r="C6" s="6" t="n">
        <v>500</v>
      </c>
    </row>
    <row r="7" customFormat="false" ht="15" hidden="false" customHeight="false" outlineLevel="0" collapsed="false">
      <c r="B7" s="5" t="s">
        <v>4</v>
      </c>
      <c r="C7" s="6" t="n">
        <v>2500</v>
      </c>
    </row>
    <row r="8" customFormat="false" ht="15" hidden="false" customHeight="false" outlineLevel="0" collapsed="false">
      <c r="B8" s="5" t="s">
        <v>5</v>
      </c>
      <c r="C8" s="6" t="n">
        <v>5000</v>
      </c>
    </row>
    <row r="9" customFormat="false" ht="15" hidden="false" customHeight="false" outlineLevel="0" collapsed="false">
      <c r="B9" s="5" t="s">
        <v>6</v>
      </c>
      <c r="C9" s="7" t="n">
        <v>120</v>
      </c>
    </row>
    <row r="10" customFormat="false" ht="15" hidden="false" customHeight="false" outlineLevel="0" collapsed="false">
      <c r="B10" s="5" t="s">
        <v>7</v>
      </c>
      <c r="C10" s="7" t="n">
        <v>30</v>
      </c>
    </row>
    <row r="11" customFormat="false" ht="15" hidden="false" customHeight="false" outlineLevel="0" collapsed="false">
      <c r="B11" s="5" t="s">
        <v>8</v>
      </c>
      <c r="C11" s="7" t="n">
        <v>15</v>
      </c>
    </row>
    <row r="12" customFormat="false" ht="15" hidden="false" customHeight="false" outlineLevel="0" collapsed="false">
      <c r="B12" s="5" t="s">
        <v>9</v>
      </c>
      <c r="C12" s="7" t="n">
        <v>12</v>
      </c>
    </row>
    <row r="13" customFormat="false" ht="15" hidden="false" customHeight="false" outlineLevel="0" collapsed="false">
      <c r="B13" s="5" t="s">
        <v>10</v>
      </c>
      <c r="C13" s="6" t="n">
        <v>50</v>
      </c>
    </row>
    <row r="14" customFormat="false" ht="15" hidden="false" customHeight="false" outlineLevel="0" collapsed="false">
      <c r="B14" s="5" t="s">
        <v>11</v>
      </c>
      <c r="C14" s="7" t="n">
        <v>3</v>
      </c>
    </row>
    <row r="16" customFormat="false" ht="15" hidden="false" customHeight="false" outlineLevel="0" collapsed="false">
      <c r="B16" s="3" t="s">
        <v>12</v>
      </c>
      <c r="C16" s="3"/>
      <c r="D16" s="4"/>
    </row>
    <row r="17" customFormat="false" ht="15" hidden="false" customHeight="false" outlineLevel="0" collapsed="false">
      <c r="B17" s="5" t="s">
        <v>13</v>
      </c>
      <c r="C17" s="8" t="n">
        <f aca="false">C9*C6</f>
        <v>60000</v>
      </c>
    </row>
    <row r="18" customFormat="false" ht="15" hidden="false" customHeight="false" outlineLevel="0" collapsed="false">
      <c r="B18" s="5" t="s">
        <v>14</v>
      </c>
      <c r="C18" s="8" t="n">
        <f aca="false">C7*8</f>
        <v>20000</v>
      </c>
    </row>
    <row r="19" customFormat="false" ht="15" hidden="false" customHeight="false" outlineLevel="0" collapsed="false">
      <c r="B19" s="5" t="s">
        <v>15</v>
      </c>
      <c r="C19" s="8" t="n">
        <f aca="false">C8*8</f>
        <v>40000</v>
      </c>
    </row>
    <row r="20" customFormat="false" ht="15" hidden="false" customHeight="false" outlineLevel="0" collapsed="false">
      <c r="B20" s="9" t="s">
        <v>16</v>
      </c>
      <c r="C20" s="10" t="n">
        <f aca="false">SUM(C17:C19)</f>
        <v>120000</v>
      </c>
    </row>
    <row r="22" customFormat="false" ht="15" hidden="false" customHeight="false" outlineLevel="0" collapsed="false">
      <c r="B22" s="3" t="s">
        <v>17</v>
      </c>
      <c r="C22" s="3"/>
      <c r="D22" s="4"/>
    </row>
    <row r="23" customFormat="false" ht="15" hidden="false" customHeight="false" outlineLevel="0" collapsed="false">
      <c r="B23" s="5" t="s">
        <v>18</v>
      </c>
      <c r="C23" s="8" t="n">
        <f aca="false">C9-C10-C11-C12</f>
        <v>63</v>
      </c>
    </row>
    <row r="24" customFormat="false" ht="15" hidden="false" customHeight="false" outlineLevel="0" collapsed="false">
      <c r="B24" s="5" t="s">
        <v>19</v>
      </c>
      <c r="C24" s="8" t="n">
        <f aca="false">C23*C6</f>
        <v>31500</v>
      </c>
    </row>
    <row r="25" customFormat="false" ht="15" hidden="false" customHeight="false" outlineLevel="0" collapsed="false">
      <c r="B25" s="5" t="s">
        <v>20</v>
      </c>
      <c r="C25" s="8" t="n">
        <f aca="false">C7*(8-C14)</f>
        <v>12500</v>
      </c>
    </row>
    <row r="26" customFormat="false" ht="15" hidden="false" customHeight="false" outlineLevel="0" collapsed="false">
      <c r="B26" s="5" t="s">
        <v>21</v>
      </c>
      <c r="C26" s="8" t="n">
        <f aca="false">C8*(8-C14)</f>
        <v>25000</v>
      </c>
    </row>
    <row r="27" customFormat="false" ht="15" hidden="false" customHeight="false" outlineLevel="0" collapsed="false">
      <c r="B27" s="5" t="s">
        <v>22</v>
      </c>
      <c r="C27" s="8" t="n">
        <f aca="false">(C10+C12)*C13</f>
        <v>2100</v>
      </c>
    </row>
    <row r="28" customFormat="false" ht="15" hidden="false" customHeight="false" outlineLevel="0" collapsed="false">
      <c r="B28" s="5" t="s">
        <v>23</v>
      </c>
      <c r="C28" s="8" t="n">
        <v>0</v>
      </c>
    </row>
    <row r="29" customFormat="false" ht="15" hidden="false" customHeight="false" outlineLevel="0" collapsed="false">
      <c r="B29" s="9" t="s">
        <v>24</v>
      </c>
      <c r="C29" s="10" t="n">
        <f aca="false">SUM(C24:C28)</f>
        <v>71100</v>
      </c>
    </row>
    <row r="31" customFormat="false" ht="16.15" hidden="false" customHeight="false" outlineLevel="0" collapsed="false">
      <c r="B31" s="11" t="s">
        <v>25</v>
      </c>
      <c r="C31" s="11"/>
    </row>
    <row r="32" customFormat="false" ht="19.7" hidden="false" customHeight="false" outlineLevel="0" collapsed="false">
      <c r="B32" s="12" t="s">
        <v>26</v>
      </c>
      <c r="C32" s="13" t="n">
        <f aca="false">C20-C29</f>
        <v>48900</v>
      </c>
    </row>
    <row r="33" customFormat="false" ht="19.7" hidden="false" customHeight="false" outlineLevel="0" collapsed="false">
      <c r="B33" s="12" t="s">
        <v>27</v>
      </c>
      <c r="C33" s="14" t="n">
        <f aca="false">C14</f>
        <v>3</v>
      </c>
    </row>
    <row r="34" customFormat="false" ht="19.7" hidden="false" customHeight="false" outlineLevel="0" collapsed="false">
      <c r="B34" s="12" t="s">
        <v>28</v>
      </c>
      <c r="C34" s="15" t="n">
        <f aca="false">C14/2</f>
        <v>1.5</v>
      </c>
    </row>
    <row r="35" customFormat="false" ht="19.7" hidden="false" customHeight="false" outlineLevel="0" collapsed="false">
      <c r="B35" s="12" t="s">
        <v>29</v>
      </c>
      <c r="C35" s="13" t="n">
        <f aca="false">IF(C10+C12&gt;0, (C20-C29)/((C10+C12)*20), 0)</f>
        <v>58.2142857142857</v>
      </c>
    </row>
  </sheetData>
  <mergeCells count="5">
    <mergeCell ref="B2:E2"/>
    <mergeCell ref="B3:E3"/>
    <mergeCell ref="B16:C16"/>
    <mergeCell ref="B22:C22"/>
    <mergeCell ref="B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2026-04-24T07:57:38Z</dcterms:created>
  <dc:creator>openpyxl</dc:creator>
  <dc:description/>
  <dc:language>en-US</dc:language>
  <cp:lastModifiedBy/>
  <dcterms:modified xsi:type="dcterms:W3CDTF">2026-04-24T07:57:38Z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